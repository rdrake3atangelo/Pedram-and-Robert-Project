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talog" sheetId="1" state="visible" r:id="rId3"/>
    <sheet name="Performance Summary" sheetId="2" state="visible" r:id="rId4"/>
    <sheet name="Scenario Tests" sheetId="3" state="visible" r:id="rId5"/>
    <sheet name="Performance Benchmar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<sst xmlns="http://schemas.openxmlformats.org/spreadsheetml/2006/main" count="369" uniqueCount="202">
  <si>
    <t xml:space="preserve">DLP Detection Engineering — Test Catalog</t>
  </si>
  <si>
    <t xml:space="preserve">TC-ID</t>
  </si>
  <si>
    <t xml:space="preserve">Use Case</t>
  </si>
  <si>
    <t xml:space="preserve">Test Type</t>
  </si>
  <si>
    <t xml:space="preserve">Description</t>
  </si>
  <si>
    <t xml:space="preserve">Input Conditions</t>
  </si>
  <si>
    <t xml:space="preserve">Expected Result</t>
  </si>
  <si>
    <t xml:space="preserve">Actual Result</t>
  </si>
  <si>
    <t xml:space="preserve">Alerts
Expected</t>
  </si>
  <si>
    <t xml:space="preserve">Alerts
Actual</t>
  </si>
  <si>
    <t xml:space="preserve">FP</t>
  </si>
  <si>
    <t xml:space="preserve">Status</t>
  </si>
  <si>
    <t xml:space="preserve">Notes</t>
  </si>
  <si>
    <t xml:space="preserve">TC-01</t>
  </si>
  <si>
    <t xml:space="preserve">UC1</t>
  </si>
  <si>
    <t xml:space="preserve">Unit</t>
  </si>
  <si>
    <t xml:space="preserve">Threshold boundary — exactly at 500 MB</t>
  </si>
  <si>
    <t xml:space="preserve">src_ip=10.0.0.5; domain=testhost.com; bytes=500,000,000</t>
  </si>
  <si>
    <t xml:space="preserve">No alert (boundary exclusive)</t>
  </si>
  <si>
    <t xml:space="preserve">No alert</t>
  </si>
  <si>
    <t xml:space="preserve">N</t>
  </si>
  <si>
    <t xml:space="preserve">Pass</t>
  </si>
  <si>
    <t xml:space="preserve">Threshold is strictly greater-than</t>
  </si>
  <si>
    <t xml:space="preserve">TC-02</t>
  </si>
  <si>
    <t xml:space="preserve">Single host exceeds 500 MB to one domain</t>
  </si>
  <si>
    <t xml:space="preserve">src_ip=10.0.0.12; domain=dropbox.com; bytes=1,748,394,112</t>
  </si>
  <si>
    <t xml:space="preserve">Alert generated; severity=High</t>
  </si>
  <si>
    <t xml:space="preserve">TC-03</t>
  </si>
  <si>
    <t xml:space="preserve">Multiple hosts each below threshold</t>
  </si>
  <si>
    <t xml:space="preserve">4 hosts; each ~200 MB to external domain</t>
  </si>
  <si>
    <t xml:space="preserve">No alerts</t>
  </si>
  <si>
    <t xml:space="preserve">TC-04</t>
  </si>
  <si>
    <t xml:space="preserve">Scenario</t>
  </si>
  <si>
    <t xml:space="preserve">S1 — Insider uploads archive to Dropbox</t>
  </si>
  <si>
    <t xml:space="preserve">10.0.0.12 uploads 1.74 GB to dropbox.com over 45 min</t>
  </si>
  <si>
    <t xml:space="preserve">Alert + PB1 triggered</t>
  </si>
  <si>
    <t xml:space="preserve">Also triggered UC2</t>
  </si>
  <si>
    <t xml:space="preserve">TC-05</t>
  </si>
  <si>
    <t xml:space="preserve">S4 — Staged sync to WeTransfer over 3 hours</t>
  </si>
  <si>
    <t xml:space="preserve">10.0.0.22 syncs 932 MB to wetransfer.com in 3 sessions</t>
  </si>
  <si>
    <t xml:space="preserve">TC-06</t>
  </si>
  <si>
    <t xml:space="preserve">Baseline FP</t>
  </si>
  <si>
    <t xml:space="preserve">Normal browsing — no large transfers</t>
  </si>
  <si>
    <t xml:space="preserve">2,500 benign proxy log events; max single transfer 48 MB</t>
  </si>
  <si>
    <t xml:space="preserve">TC-07</t>
  </si>
  <si>
    <t xml:space="preserve">UC2</t>
  </si>
  <si>
    <t xml:space="preserve">Domain in unsanctioned list — small volume</t>
  </si>
  <si>
    <t xml:space="preserve">src_ip=10.0.0.6; domain=anonfiles.com; bytes=2 MB; 1 event</t>
  </si>
  <si>
    <t xml:space="preserve">Alert generated; severity=Low</t>
  </si>
  <si>
    <t xml:space="preserve">TC-08</t>
  </si>
  <si>
    <t xml:space="preserve">Domain in sanctioned_services.csv — no alert</t>
  </si>
  <si>
    <t xml:space="preserve">src_ip=10.0.0.5; domain=sharepoint.com; bytes=500 MB</t>
  </si>
  <si>
    <t xml:space="preserve">Exception correctly applied</t>
  </si>
  <si>
    <t xml:space="preserve">TC-09</t>
  </si>
  <si>
    <t xml:space="preserve">Six exfiltration events across three unsanctioned domains</t>
  </si>
  <si>
    <t xml:space="preserve">dropbox.com (6 events), wetransfer.com (3), mega.nz (4)</t>
  </si>
  <si>
    <t xml:space="preserve">6 source-domain pair alerts</t>
  </si>
  <si>
    <t xml:space="preserve">6 alerts</t>
  </si>
  <si>
    <t xml:space="preserve">TC-10</t>
  </si>
  <si>
    <t xml:space="preserve">S1 — Unsanctioned domain access (Dropbox)</t>
  </si>
  <si>
    <t xml:space="preserve">10.0.0.12 uploads to dropbox.com</t>
  </si>
  <si>
    <t xml:space="preserve">Alert + PB2 triggered</t>
  </si>
  <si>
    <t xml:space="preserve">Correlated with UC1</t>
  </si>
  <si>
    <t xml:space="preserve">TC-11</t>
  </si>
  <si>
    <t xml:space="preserve">Benign SaaS traffic — all sanctioned domains</t>
  </si>
  <si>
    <t xml:space="preserve">2,500 benign events; all domains in sanctioned_services.csv</t>
  </si>
  <si>
    <t xml:space="preserve">TC-12</t>
  </si>
  <si>
    <t xml:space="preserve">UC3</t>
  </si>
  <si>
    <t xml:space="preserve">Monitoring agent — high volume, low entropy</t>
  </si>
  <si>
    <t xml:space="preserve">10.0.0.7; 412 queries/hr; avg_entropy=2.87; avg_len=18</t>
  </si>
  <si>
    <t xml:space="preserve">No alert (entropy below threshold)</t>
  </si>
  <si>
    <t xml:space="preserve">Key tuning result</t>
  </si>
  <si>
    <t xml:space="preserve">TC-13</t>
  </si>
  <si>
    <t xml:space="preserve">DNS tunnel host 1 — high vol + high entropy</t>
  </si>
  <si>
    <t xml:space="preserve">10.0.0.14; 1,842 queries/hr; avg_entropy=4.21; avg_len=73</t>
  </si>
  <si>
    <t xml:space="preserve">Alert generated; severity=Critical</t>
  </si>
  <si>
    <t xml:space="preserve">TC-14</t>
  </si>
  <si>
    <t xml:space="preserve">DNS tunnel host 2 — confirmed tunneling</t>
  </si>
  <si>
    <t xml:space="preserve">10.0.0.31; 987 queries/hr; avg_entropy=4.08; avg_len=69</t>
  </si>
  <si>
    <t xml:space="preserve">TC-15</t>
  </si>
  <si>
    <t xml:space="preserve">S3 — Compromised host DNS tunnel</t>
  </si>
  <si>
    <t xml:space="preserve">10.0.0.14 runs iodine-style tunnel to tunnel-exfil.xyz</t>
  </si>
  <si>
    <t xml:space="preserve">Alert + PB3 triggered</t>
  </si>
  <si>
    <t xml:space="preserve">TC-16</t>
  </si>
  <si>
    <t xml:space="preserve">Benign DNS — structured short subdomains</t>
  </si>
  <si>
    <t xml:space="preserve">2,000 benign DNS events; max avg_len=22; max entropy=2.4</t>
  </si>
  <si>
    <t xml:space="preserve">TC-17</t>
  </si>
  <si>
    <t xml:space="preserve">UC4</t>
  </si>
  <si>
    <t xml:space="preserve">User sends 147 emails externally (Rule A)</t>
  </si>
  <si>
    <t xml:space="preserve">bob; 147 external sends; 89 unique recipients</t>
  </si>
  <si>
    <t xml:space="preserve">TC-18</t>
  </si>
  <si>
    <t xml:space="preserve">User sends 23 emails with 312 MB attachments (Rule B)</t>
  </si>
  <si>
    <t xml:space="preserve">carol; 23 external emails; total_attach=312 MB</t>
  </si>
  <si>
    <t xml:space="preserve">TC-19</t>
  </si>
  <si>
    <t xml:space="preserve">Authorized sender — no alert</t>
  </si>
  <si>
    <t xml:space="preserve">frank; 62 bulk emails; listed in authorized_senders.csv</t>
  </si>
  <si>
    <t xml:space="preserve">TC-20</t>
  </si>
  <si>
    <t xml:space="preserve">User sends 8 emails — below threshold</t>
  </si>
  <si>
    <t xml:space="preserve">eve; 8 emails; 4 unique recipients; 14 MB total attach</t>
  </si>
  <si>
    <t xml:space="preserve">TC-21</t>
  </si>
  <si>
    <t xml:space="preserve">S2 — Employee bulk-forwards emails pre-resignation</t>
  </si>
  <si>
    <t xml:space="preserve">bob; 147 forward events to external addresses</t>
  </si>
  <si>
    <t xml:space="preserve">Alert + PB4 triggered</t>
  </si>
  <si>
    <t xml:space="preserve">TC-22</t>
  </si>
  <si>
    <t xml:space="preserve">S5 — Mass attachment send to external contacts</t>
  </si>
  <si>
    <t xml:space="preserve">carol; 23 emails; 312 MB to personal gmail addresses</t>
  </si>
  <si>
    <t xml:space="preserve">TC-23</t>
  </si>
  <si>
    <t xml:space="preserve">Benign email — sales bulk campaign (authorized)</t>
  </si>
  <si>
    <t xml:space="preserve">frank; 62 emails; NOT in authorized_senders at test time</t>
  </si>
  <si>
    <t xml:space="preserve">Alert generated — FP</t>
  </si>
  <si>
    <t xml:space="preserve">Y</t>
  </si>
  <si>
    <t xml:space="preserve">FP — Managed</t>
  </si>
  <si>
    <t xml:space="preserve">Root cause: frank not yet in authorized_senders.csv. Added after test. Threshold also raised from 20→50.</t>
  </si>
  <si>
    <t xml:space="preserve">DLP Detection Engineering — Performance Summary</t>
  </si>
  <si>
    <t xml:space="preserve">Vector</t>
  </si>
  <si>
    <t xml:space="preserve">True
Positives</t>
  </si>
  <si>
    <t xml:space="preserve">False
Positives</t>
  </si>
  <si>
    <t xml:space="preserve">False
Negatives</t>
  </si>
  <si>
    <t xml:space="preserve">Precision</t>
  </si>
  <si>
    <t xml:space="preserve">Recall</t>
  </si>
  <si>
    <t xml:space="preserve">F1 Score</t>
  </si>
  <si>
    <t xml:space="preserve">Assessment</t>
  </si>
  <si>
    <t xml:space="preserve">High-Volume Outbound Transfer</t>
  </si>
  <si>
    <t xml:space="preserve">Validated</t>
  </si>
  <si>
    <t xml:space="preserve">Unsanctioned Cloud Storage</t>
  </si>
  <si>
    <t xml:space="preserve">DNS-Based Exfiltration</t>
  </si>
  <si>
    <t xml:space="preserve">Email-Based Exfiltration</t>
  </si>
  <si>
    <t xml:space="preserve">Acceptable — 1 FP Managed</t>
  </si>
  <si>
    <t xml:space="preserve">OVERALL</t>
  </si>
  <si>
    <t xml:space="preserve">All Use Cases</t>
  </si>
  <si>
    <t xml:space="preserve">94% Precision | 100% Recall</t>
  </si>
  <si>
    <t xml:space="preserve">Performance by Test Type</t>
  </si>
  <si>
    <t xml:space="preserve">Tests Run</t>
  </si>
  <si>
    <t xml:space="preserve">Fail / FP</t>
  </si>
  <si>
    <t xml:space="preserve">Pass Rate</t>
  </si>
  <si>
    <t xml:space="preserve">Unit-Level</t>
  </si>
  <si>
    <t xml:space="preserve">Scenario-Based</t>
  </si>
  <si>
    <t xml:space="preserve">5</t>
  </si>
  <si>
    <t xml:space="preserve">0</t>
  </si>
  <si>
    <t xml:space="preserve">Baseline / False-Positive</t>
  </si>
  <si>
    <t xml:space="preserve">4</t>
  </si>
  <si>
    <t xml:space="preserve">3</t>
  </si>
  <si>
    <t xml:space="preserve">1</t>
  </si>
  <si>
    <t xml:space="preserve">Performance</t>
  </si>
  <si>
    <t xml:space="preserve">TOTAL</t>
  </si>
  <si>
    <t xml:space="preserve">DLP Detection Engineering — Scenario-Based Test Results</t>
  </si>
  <si>
    <t xml:space="preserve">Scenario
ID</t>
  </si>
  <si>
    <t xml:space="preserve">Exfil Vector(s)</t>
  </si>
  <si>
    <t xml:space="preserve">Exfil Host</t>
  </si>
  <si>
    <t xml:space="preserve">Rules
Triggered</t>
  </si>
  <si>
    <t xml:space="preserve">Playbook(s)
Invoked</t>
  </si>
  <si>
    <t xml:space="preserve">Alert
Generated</t>
  </si>
  <si>
    <t xml:space="preserve">Correct
Playbook</t>
  </si>
  <si>
    <t xml:space="preserve">Chain
Complete</t>
  </si>
  <si>
    <t xml:space="preserve">Result</t>
  </si>
  <si>
    <t xml:space="preserve">S1</t>
  </si>
  <si>
    <t xml:space="preserve">Insider uploads archive to Dropbox</t>
  </si>
  <si>
    <t xml:space="preserve">UC1 + UC2</t>
  </si>
  <si>
    <t xml:space="preserve">10.0.0.12 (grace)</t>
  </si>
  <si>
    <t xml:space="preserve">Both</t>
  </si>
  <si>
    <t xml:space="preserve">PB1, PB2</t>
  </si>
  <si>
    <t xml:space="preserve">Yes</t>
  </si>
  <si>
    <t xml:space="preserve">S2</t>
  </si>
  <si>
    <t xml:space="preserve">Employee bulk-forwards emails pre-resignation</t>
  </si>
  <si>
    <t xml:space="preserve">bob</t>
  </si>
  <si>
    <t xml:space="preserve">PB4</t>
  </si>
  <si>
    <t xml:space="preserve">S3</t>
  </si>
  <si>
    <t xml:space="preserve">Compromised host runs DNS tunnel client</t>
  </si>
  <si>
    <t xml:space="preserve">10.0.0.14 (ivan)</t>
  </si>
  <si>
    <t xml:space="preserve">PB3</t>
  </si>
  <si>
    <t xml:space="preserve">S4</t>
  </si>
  <si>
    <t xml:space="preserve">Staged file sync to WeTransfer over 3 hours</t>
  </si>
  <si>
    <t xml:space="preserve">10.0.0.22 (oscar)</t>
  </si>
  <si>
    <t xml:space="preserve">S5</t>
  </si>
  <si>
    <t xml:space="preserve">Mass attachment send to personal gmail addresses</t>
  </si>
  <si>
    <t xml:space="preserve">carol</t>
  </si>
  <si>
    <t xml:space="preserve">All 5 scenarios completed successfully — 100% detection coverage, 100% correct playbook routing.</t>
  </si>
  <si>
    <t xml:space="preserve">DLP Detection Engineering — Query Performance Benchmarks</t>
  </si>
  <si>
    <t xml:space="preserve">Detection Rule</t>
  </si>
  <si>
    <t xml:space="preserve">Index</t>
  </si>
  <si>
    <t xml:space="preserve">Events Tested</t>
  </si>
  <si>
    <t xml:space="preserve">1-Hr Window (s)</t>
  </si>
  <si>
    <t xml:space="preserve">24-Hr Window (s)</t>
  </si>
  <si>
    <t xml:space="preserve">SLA Met?</t>
  </si>
  <si>
    <t xml:space="preserve">Optimization Required</t>
  </si>
  <si>
    <t xml:space="preserve">UC1 – High-Volume Outbound</t>
  </si>
  <si>
    <t xml:space="preserve">dlp_test</t>
  </si>
  <si>
    <t xml:space="preserve">9,515</t>
  </si>
  <si>
    <t xml:space="preserve">None</t>
  </si>
  <si>
    <t xml:space="preserve">Efficient stats aggregation</t>
  </si>
  <si>
    <t xml:space="preserve">UC2 – Unsanctioned Domain</t>
  </si>
  <si>
    <t xml:space="preserve">Lookup join is fast at this scale</t>
  </si>
  <si>
    <t xml:space="preserve">UC3 – DNS Exfiltration</t>
  </si>
  <si>
    <t xml:space="preserve">dns_logs</t>
  </si>
  <si>
    <t xml:space="preserve">8,741</t>
  </si>
  <si>
    <t xml:space="preserve">Pre-compute entropy at index time for &gt;1M events/day</t>
  </si>
  <si>
    <t xml:space="preserve">Entropy macro adds ~0.9 s overhead vs. simple aggregation</t>
  </si>
  <si>
    <t xml:space="preserve">UC4 – Email Exfiltration</t>
  </si>
  <si>
    <t xml:space="preserve">email_logs</t>
  </si>
  <si>
    <t xml:space="preserve">4,139</t>
  </si>
  <si>
    <t xml:space="preserve">Dual rule runs as two saved searches</t>
  </si>
  <si>
    <t xml:space="preserve">SLA definition: All detection searches must complete within 30 seconds for a 24-hour look-back window on the test dataset volume.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</si>
</sst>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E7A34"/>
      <name val="Arial"/>
      <family val="0"/>
      <charset val="1"/>
    </font>
    <font>
      <sz val="9"/>
      <color rgb="FFB7770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E7A34"/>
      <name val="Arial"/>
      <family val="0"/>
      <charset val="1"/>
    </font>
    <font>
      <sz val="10"/>
      <color rgb="FFB7770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1E7A34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4A7A"/>
      </patternFill>
    </fill>
    <fill>
      <patternFill patternType="solid">
        <fgColor rgb="FF2E4A7A"/>
        <bgColor rgb="FF1F3864"/>
      </patternFill>
    </fill>
    <fill>
      <patternFill patternType="solid">
        <fgColor rgb="FFFFFFFF"/>
        <bgColor rgb="FFF5F5F5"/>
      </patternFill>
    </fill>
    <fill>
      <patternFill patternType="solid">
        <fgColor rgb="FFD6F0DC"/>
        <bgColor rgb="FFD5E2F5"/>
      </patternFill>
    </fill>
    <fill>
      <patternFill patternType="solid">
        <fgColor rgb="FFF5F5F5"/>
        <bgColor rgb="FFFFFFFF"/>
      </patternFill>
    </fill>
    <fill>
      <patternFill patternType="solid">
        <fgColor rgb="FFFEF3CD"/>
        <bgColor rgb="FFF5F5F5"/>
      </patternFill>
    </fill>
    <fill>
      <patternFill patternType="solid">
        <fgColor rgb="FFD5E2F5"/>
        <bgColor rgb="FFD6F0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34"/>
      <rgbColor rgb="FF000080"/>
      <rgbColor rgb="FFB7770D"/>
      <rgbColor rgb="FF800080"/>
      <rgbColor rgb="FF008080"/>
      <rgbColor rgb="FFCCCCCC"/>
      <rgbColor rgb="FF808080"/>
      <rgbColor rgb="FF9999FF"/>
      <rgbColor rgb="FF993366"/>
      <rgbColor rgb="FFFEF3CD"/>
      <rgbColor rgb="FFF5F5F5"/>
      <rgbColor rgb="FF660066"/>
      <rgbColor rgb="FFFF8080"/>
      <rgbColor rgb="FF0066CC"/>
      <rgbColor rgb="FFD5E2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7" min="6" style="0" width="28"/>
    <col collapsed="false" customWidth="true" hidden="false" outlineLevel="0" max="9" min="8" style="0" width="10"/>
    <col collapsed="false" customWidth="true" hidden="false" outlineLevel="0" max="10" min="10" style="0" width="6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22.3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n">
        <v>0</v>
      </c>
      <c r="I3" s="3" t="n">
        <v>0</v>
      </c>
      <c r="J3" s="3" t="s">
        <v>20</v>
      </c>
      <c r="K3" s="4" t="s">
        <v>21</v>
      </c>
      <c r="L3" s="3" t="s">
        <v>22</v>
      </c>
    </row>
    <row r="4" customFormat="false" ht="22.35" hidden="false" customHeight="false" outlineLevel="0" collapsed="false">
      <c r="A4" s="5" t="s">
        <v>23</v>
      </c>
      <c r="B4" s="5" t="s">
        <v>14</v>
      </c>
      <c r="C4" s="5" t="s">
        <v>15</v>
      </c>
      <c r="D4" s="5" t="s">
        <v>24</v>
      </c>
      <c r="E4" s="5" t="s">
        <v>25</v>
      </c>
      <c r="F4" s="5" t="s">
        <v>26</v>
      </c>
      <c r="G4" s="5" t="s">
        <v>26</v>
      </c>
      <c r="H4" s="5" t="n">
        <v>1</v>
      </c>
      <c r="I4" s="5" t="n">
        <v>1</v>
      </c>
      <c r="J4" s="5" t="s">
        <v>20</v>
      </c>
      <c r="K4" s="4" t="s">
        <v>21</v>
      </c>
      <c r="L4" s="5"/>
    </row>
    <row r="5" customFormat="false" ht="15" hidden="false" customHeight="false" outlineLevel="0" collapsed="false">
      <c r="A5" s="3" t="s">
        <v>27</v>
      </c>
      <c r="B5" s="3" t="s">
        <v>14</v>
      </c>
      <c r="C5" s="3" t="s">
        <v>15</v>
      </c>
      <c r="D5" s="3" t="s">
        <v>28</v>
      </c>
      <c r="E5" s="3" t="s">
        <v>29</v>
      </c>
      <c r="F5" s="3" t="s">
        <v>30</v>
      </c>
      <c r="G5" s="3" t="s">
        <v>30</v>
      </c>
      <c r="H5" s="3" t="n">
        <v>0</v>
      </c>
      <c r="I5" s="3" t="n">
        <v>0</v>
      </c>
      <c r="J5" s="3" t="s">
        <v>20</v>
      </c>
      <c r="K5" s="4" t="s">
        <v>21</v>
      </c>
      <c r="L5" s="3"/>
    </row>
    <row r="6" customFormat="false" ht="22.35" hidden="false" customHeight="false" outlineLevel="0" collapsed="false">
      <c r="A6" s="5" t="s">
        <v>31</v>
      </c>
      <c r="B6" s="5" t="s">
        <v>14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35</v>
      </c>
      <c r="H6" s="5" t="n">
        <v>1</v>
      </c>
      <c r="I6" s="5" t="n">
        <v>1</v>
      </c>
      <c r="J6" s="5" t="s">
        <v>20</v>
      </c>
      <c r="K6" s="4" t="s">
        <v>21</v>
      </c>
      <c r="L6" s="5" t="s">
        <v>36</v>
      </c>
    </row>
    <row r="7" customFormat="false" ht="22.35" hidden="false" customHeight="false" outlineLevel="0" collapsed="false">
      <c r="A7" s="3" t="s">
        <v>37</v>
      </c>
      <c r="B7" s="3" t="s">
        <v>14</v>
      </c>
      <c r="C7" s="3" t="s">
        <v>32</v>
      </c>
      <c r="D7" s="3" t="s">
        <v>38</v>
      </c>
      <c r="E7" s="3" t="s">
        <v>39</v>
      </c>
      <c r="F7" s="3" t="s">
        <v>35</v>
      </c>
      <c r="G7" s="3" t="s">
        <v>35</v>
      </c>
      <c r="H7" s="3" t="n">
        <v>1</v>
      </c>
      <c r="I7" s="3" t="n">
        <v>1</v>
      </c>
      <c r="J7" s="3" t="s">
        <v>20</v>
      </c>
      <c r="K7" s="4" t="s">
        <v>21</v>
      </c>
      <c r="L7" s="3" t="s">
        <v>36</v>
      </c>
    </row>
    <row r="8" customFormat="false" ht="22.35" hidden="false" customHeight="false" outlineLevel="0" collapsed="false">
      <c r="A8" s="5" t="s">
        <v>40</v>
      </c>
      <c r="B8" s="5" t="s">
        <v>14</v>
      </c>
      <c r="C8" s="5" t="s">
        <v>41</v>
      </c>
      <c r="D8" s="5" t="s">
        <v>42</v>
      </c>
      <c r="E8" s="5" t="s">
        <v>43</v>
      </c>
      <c r="F8" s="5" t="s">
        <v>30</v>
      </c>
      <c r="G8" s="5" t="s">
        <v>30</v>
      </c>
      <c r="H8" s="5" t="n">
        <v>0</v>
      </c>
      <c r="I8" s="5" t="n">
        <v>0</v>
      </c>
      <c r="J8" s="5" t="s">
        <v>20</v>
      </c>
      <c r="K8" s="4" t="s">
        <v>21</v>
      </c>
      <c r="L8" s="5"/>
    </row>
    <row r="9" customFormat="false" ht="22.35" hidden="false" customHeight="false" outlineLevel="0" collapsed="false">
      <c r="A9" s="3" t="s">
        <v>44</v>
      </c>
      <c r="B9" s="3" t="s">
        <v>45</v>
      </c>
      <c r="C9" s="3" t="s">
        <v>15</v>
      </c>
      <c r="D9" s="3" t="s">
        <v>46</v>
      </c>
      <c r="E9" s="3" t="s">
        <v>47</v>
      </c>
      <c r="F9" s="3" t="s">
        <v>48</v>
      </c>
      <c r="G9" s="3" t="s">
        <v>48</v>
      </c>
      <c r="H9" s="3" t="n">
        <v>1</v>
      </c>
      <c r="I9" s="3" t="n">
        <v>1</v>
      </c>
      <c r="J9" s="3" t="s">
        <v>20</v>
      </c>
      <c r="K9" s="4" t="s">
        <v>21</v>
      </c>
      <c r="L9" s="3"/>
    </row>
    <row r="10" customFormat="false" ht="22.35" hidden="false" customHeight="false" outlineLevel="0" collapsed="false">
      <c r="A10" s="5" t="s">
        <v>49</v>
      </c>
      <c r="B10" s="5" t="s">
        <v>45</v>
      </c>
      <c r="C10" s="5" t="s">
        <v>15</v>
      </c>
      <c r="D10" s="5" t="s">
        <v>50</v>
      </c>
      <c r="E10" s="5" t="s">
        <v>51</v>
      </c>
      <c r="F10" s="5" t="s">
        <v>19</v>
      </c>
      <c r="G10" s="5" t="s">
        <v>19</v>
      </c>
      <c r="H10" s="5" t="n">
        <v>0</v>
      </c>
      <c r="I10" s="5" t="n">
        <v>0</v>
      </c>
      <c r="J10" s="5" t="s">
        <v>20</v>
      </c>
      <c r="K10" s="4" t="s">
        <v>21</v>
      </c>
      <c r="L10" s="5" t="s">
        <v>52</v>
      </c>
    </row>
    <row r="11" customFormat="false" ht="22.35" hidden="false" customHeight="false" outlineLevel="0" collapsed="false">
      <c r="A11" s="3" t="s">
        <v>53</v>
      </c>
      <c r="B11" s="3" t="s">
        <v>45</v>
      </c>
      <c r="C11" s="3" t="s">
        <v>15</v>
      </c>
      <c r="D11" s="3" t="s">
        <v>54</v>
      </c>
      <c r="E11" s="3" t="s">
        <v>55</v>
      </c>
      <c r="F11" s="3" t="s">
        <v>56</v>
      </c>
      <c r="G11" s="3" t="s">
        <v>57</v>
      </c>
      <c r="H11" s="3" t="n">
        <v>6</v>
      </c>
      <c r="I11" s="3" t="n">
        <v>6</v>
      </c>
      <c r="J11" s="3" t="s">
        <v>20</v>
      </c>
      <c r="K11" s="4" t="s">
        <v>21</v>
      </c>
      <c r="L11" s="3"/>
    </row>
    <row r="12" customFormat="false" ht="22.35" hidden="false" customHeight="false" outlineLevel="0" collapsed="false">
      <c r="A12" s="5" t="s">
        <v>58</v>
      </c>
      <c r="B12" s="5" t="s">
        <v>45</v>
      </c>
      <c r="C12" s="5" t="s">
        <v>32</v>
      </c>
      <c r="D12" s="5" t="s">
        <v>59</v>
      </c>
      <c r="E12" s="5" t="s">
        <v>60</v>
      </c>
      <c r="F12" s="5" t="s">
        <v>61</v>
      </c>
      <c r="G12" s="5" t="s">
        <v>61</v>
      </c>
      <c r="H12" s="5" t="n">
        <v>1</v>
      </c>
      <c r="I12" s="5" t="n">
        <v>1</v>
      </c>
      <c r="J12" s="5" t="s">
        <v>20</v>
      </c>
      <c r="K12" s="4" t="s">
        <v>21</v>
      </c>
      <c r="L12" s="5" t="s">
        <v>62</v>
      </c>
    </row>
    <row r="13" customFormat="false" ht="22.35" hidden="false" customHeight="false" outlineLevel="0" collapsed="false">
      <c r="A13" s="3" t="s">
        <v>63</v>
      </c>
      <c r="B13" s="3" t="s">
        <v>45</v>
      </c>
      <c r="C13" s="3" t="s">
        <v>41</v>
      </c>
      <c r="D13" s="3" t="s">
        <v>64</v>
      </c>
      <c r="E13" s="3" t="s">
        <v>65</v>
      </c>
      <c r="F13" s="3" t="s">
        <v>30</v>
      </c>
      <c r="G13" s="3" t="s">
        <v>30</v>
      </c>
      <c r="H13" s="3" t="n">
        <v>0</v>
      </c>
      <c r="I13" s="3" t="n">
        <v>0</v>
      </c>
      <c r="J13" s="3" t="s">
        <v>20</v>
      </c>
      <c r="K13" s="4" t="s">
        <v>21</v>
      </c>
      <c r="L13" s="3"/>
    </row>
    <row r="14" customFormat="false" ht="22.35" hidden="false" customHeight="false" outlineLevel="0" collapsed="false">
      <c r="A14" s="5" t="s">
        <v>66</v>
      </c>
      <c r="B14" s="5" t="s">
        <v>67</v>
      </c>
      <c r="C14" s="5" t="s">
        <v>15</v>
      </c>
      <c r="D14" s="5" t="s">
        <v>68</v>
      </c>
      <c r="E14" s="5" t="s">
        <v>69</v>
      </c>
      <c r="F14" s="5" t="s">
        <v>70</v>
      </c>
      <c r="G14" s="5" t="s">
        <v>19</v>
      </c>
      <c r="H14" s="5" t="n">
        <v>0</v>
      </c>
      <c r="I14" s="5" t="n">
        <v>0</v>
      </c>
      <c r="J14" s="5" t="s">
        <v>20</v>
      </c>
      <c r="K14" s="4" t="s">
        <v>21</v>
      </c>
      <c r="L14" s="5" t="s">
        <v>71</v>
      </c>
    </row>
    <row r="15" customFormat="false" ht="22.35" hidden="false" customHeight="false" outlineLevel="0" collapsed="false">
      <c r="A15" s="3" t="s">
        <v>72</v>
      </c>
      <c r="B15" s="3" t="s">
        <v>67</v>
      </c>
      <c r="C15" s="3" t="s">
        <v>15</v>
      </c>
      <c r="D15" s="3" t="s">
        <v>73</v>
      </c>
      <c r="E15" s="3" t="s">
        <v>74</v>
      </c>
      <c r="F15" s="3" t="s">
        <v>75</v>
      </c>
      <c r="G15" s="3" t="s">
        <v>75</v>
      </c>
      <c r="H15" s="3" t="n">
        <v>1</v>
      </c>
      <c r="I15" s="3" t="n">
        <v>1</v>
      </c>
      <c r="J15" s="3" t="s">
        <v>20</v>
      </c>
      <c r="K15" s="4" t="s">
        <v>21</v>
      </c>
      <c r="L15" s="3"/>
    </row>
    <row r="16" customFormat="false" ht="22.35" hidden="false" customHeight="false" outlineLevel="0" collapsed="false">
      <c r="A16" s="5" t="s">
        <v>76</v>
      </c>
      <c r="B16" s="5" t="s">
        <v>67</v>
      </c>
      <c r="C16" s="5" t="s">
        <v>15</v>
      </c>
      <c r="D16" s="5" t="s">
        <v>77</v>
      </c>
      <c r="E16" s="5" t="s">
        <v>78</v>
      </c>
      <c r="F16" s="5" t="s">
        <v>26</v>
      </c>
      <c r="G16" s="5" t="s">
        <v>26</v>
      </c>
      <c r="H16" s="5" t="n">
        <v>1</v>
      </c>
      <c r="I16" s="5" t="n">
        <v>1</v>
      </c>
      <c r="J16" s="5" t="s">
        <v>20</v>
      </c>
      <c r="K16" s="4" t="s">
        <v>21</v>
      </c>
      <c r="L16" s="5"/>
    </row>
    <row r="17" customFormat="false" ht="22.35" hidden="false" customHeight="false" outlineLevel="0" collapsed="false">
      <c r="A17" s="3" t="s">
        <v>79</v>
      </c>
      <c r="B17" s="3" t="s">
        <v>67</v>
      </c>
      <c r="C17" s="3" t="s">
        <v>32</v>
      </c>
      <c r="D17" s="3" t="s">
        <v>80</v>
      </c>
      <c r="E17" s="3" t="s">
        <v>81</v>
      </c>
      <c r="F17" s="3" t="s">
        <v>82</v>
      </c>
      <c r="G17" s="3" t="s">
        <v>82</v>
      </c>
      <c r="H17" s="3" t="n">
        <v>1</v>
      </c>
      <c r="I17" s="3" t="n">
        <v>1</v>
      </c>
      <c r="J17" s="3" t="s">
        <v>20</v>
      </c>
      <c r="K17" s="4" t="s">
        <v>21</v>
      </c>
      <c r="L17" s="3"/>
    </row>
    <row r="18" customFormat="false" ht="22.35" hidden="false" customHeight="false" outlineLevel="0" collapsed="false">
      <c r="A18" s="5" t="s">
        <v>83</v>
      </c>
      <c r="B18" s="5" t="s">
        <v>67</v>
      </c>
      <c r="C18" s="5" t="s">
        <v>41</v>
      </c>
      <c r="D18" s="5" t="s">
        <v>84</v>
      </c>
      <c r="E18" s="5" t="s">
        <v>85</v>
      </c>
      <c r="F18" s="5" t="s">
        <v>30</v>
      </c>
      <c r="G18" s="5" t="s">
        <v>30</v>
      </c>
      <c r="H18" s="5" t="n">
        <v>0</v>
      </c>
      <c r="I18" s="5" t="n">
        <v>0</v>
      </c>
      <c r="J18" s="5" t="s">
        <v>20</v>
      </c>
      <c r="K18" s="4" t="s">
        <v>21</v>
      </c>
      <c r="L18" s="5"/>
    </row>
    <row r="19" customFormat="false" ht="15" hidden="false" customHeight="false" outlineLevel="0" collapsed="false">
      <c r="A19" s="3" t="s">
        <v>86</v>
      </c>
      <c r="B19" s="3" t="s">
        <v>87</v>
      </c>
      <c r="C19" s="3" t="s">
        <v>15</v>
      </c>
      <c r="D19" s="3" t="s">
        <v>88</v>
      </c>
      <c r="E19" s="3" t="s">
        <v>89</v>
      </c>
      <c r="F19" s="3" t="s">
        <v>75</v>
      </c>
      <c r="G19" s="3" t="s">
        <v>75</v>
      </c>
      <c r="H19" s="3" t="n">
        <v>1</v>
      </c>
      <c r="I19" s="3" t="n">
        <v>1</v>
      </c>
      <c r="J19" s="3" t="s">
        <v>20</v>
      </c>
      <c r="K19" s="4" t="s">
        <v>21</v>
      </c>
      <c r="L19" s="3"/>
    </row>
    <row r="20" customFormat="false" ht="22.35" hidden="false" customHeight="false" outlineLevel="0" collapsed="false">
      <c r="A20" s="5" t="s">
        <v>90</v>
      </c>
      <c r="B20" s="5" t="s">
        <v>87</v>
      </c>
      <c r="C20" s="5" t="s">
        <v>15</v>
      </c>
      <c r="D20" s="5" t="s">
        <v>91</v>
      </c>
      <c r="E20" s="5" t="s">
        <v>92</v>
      </c>
      <c r="F20" s="5" t="s">
        <v>26</v>
      </c>
      <c r="G20" s="5" t="s">
        <v>26</v>
      </c>
      <c r="H20" s="5" t="n">
        <v>1</v>
      </c>
      <c r="I20" s="5" t="n">
        <v>1</v>
      </c>
      <c r="J20" s="5" t="s">
        <v>20</v>
      </c>
      <c r="K20" s="4" t="s">
        <v>21</v>
      </c>
      <c r="L20" s="5"/>
    </row>
    <row r="21" customFormat="false" ht="22.35" hidden="false" customHeight="false" outlineLevel="0" collapsed="false">
      <c r="A21" s="3" t="s">
        <v>93</v>
      </c>
      <c r="B21" s="3" t="s">
        <v>87</v>
      </c>
      <c r="C21" s="3" t="s">
        <v>15</v>
      </c>
      <c r="D21" s="3" t="s">
        <v>94</v>
      </c>
      <c r="E21" s="3" t="s">
        <v>95</v>
      </c>
      <c r="F21" s="3" t="s">
        <v>19</v>
      </c>
      <c r="G21" s="3" t="s">
        <v>19</v>
      </c>
      <c r="H21" s="3" t="n">
        <v>0</v>
      </c>
      <c r="I21" s="3" t="n">
        <v>0</v>
      </c>
      <c r="J21" s="3" t="s">
        <v>20</v>
      </c>
      <c r="K21" s="4" t="s">
        <v>21</v>
      </c>
      <c r="L21" s="3" t="s">
        <v>52</v>
      </c>
    </row>
    <row r="22" customFormat="false" ht="22.35" hidden="false" customHeight="false" outlineLevel="0" collapsed="false">
      <c r="A22" s="5" t="s">
        <v>96</v>
      </c>
      <c r="B22" s="5" t="s">
        <v>87</v>
      </c>
      <c r="C22" s="5" t="s">
        <v>15</v>
      </c>
      <c r="D22" s="5" t="s">
        <v>97</v>
      </c>
      <c r="E22" s="5" t="s">
        <v>98</v>
      </c>
      <c r="F22" s="5" t="s">
        <v>19</v>
      </c>
      <c r="G22" s="5" t="s">
        <v>19</v>
      </c>
      <c r="H22" s="5" t="n">
        <v>0</v>
      </c>
      <c r="I22" s="5" t="n">
        <v>0</v>
      </c>
      <c r="J22" s="5" t="s">
        <v>20</v>
      </c>
      <c r="K22" s="4" t="s">
        <v>21</v>
      </c>
      <c r="L22" s="5"/>
    </row>
    <row r="23" customFormat="false" ht="22.35" hidden="false" customHeight="false" outlineLevel="0" collapsed="false">
      <c r="A23" s="3" t="s">
        <v>99</v>
      </c>
      <c r="B23" s="3" t="s">
        <v>87</v>
      </c>
      <c r="C23" s="3" t="s">
        <v>32</v>
      </c>
      <c r="D23" s="3" t="s">
        <v>100</v>
      </c>
      <c r="E23" s="3" t="s">
        <v>101</v>
      </c>
      <c r="F23" s="3" t="s">
        <v>102</v>
      </c>
      <c r="G23" s="3" t="s">
        <v>102</v>
      </c>
      <c r="H23" s="3" t="n">
        <v>1</v>
      </c>
      <c r="I23" s="3" t="n">
        <v>1</v>
      </c>
      <c r="J23" s="3" t="s">
        <v>20</v>
      </c>
      <c r="K23" s="4" t="s">
        <v>21</v>
      </c>
      <c r="L23" s="3"/>
    </row>
    <row r="24" customFormat="false" ht="22.35" hidden="false" customHeight="false" outlineLevel="0" collapsed="false">
      <c r="A24" s="5" t="s">
        <v>103</v>
      </c>
      <c r="B24" s="5" t="s">
        <v>87</v>
      </c>
      <c r="C24" s="5" t="s">
        <v>32</v>
      </c>
      <c r="D24" s="5" t="s">
        <v>104</v>
      </c>
      <c r="E24" s="5" t="s">
        <v>105</v>
      </c>
      <c r="F24" s="5" t="s">
        <v>102</v>
      </c>
      <c r="G24" s="5" t="s">
        <v>102</v>
      </c>
      <c r="H24" s="5" t="n">
        <v>1</v>
      </c>
      <c r="I24" s="5" t="n">
        <v>1</v>
      </c>
      <c r="J24" s="5" t="s">
        <v>20</v>
      </c>
      <c r="K24" s="4" t="s">
        <v>21</v>
      </c>
      <c r="L24" s="5"/>
    </row>
    <row r="25" customFormat="false" ht="36" hidden="false" customHeight="true" outlineLevel="0" collapsed="false">
      <c r="A25" s="3" t="s">
        <v>106</v>
      </c>
      <c r="B25" s="3" t="s">
        <v>87</v>
      </c>
      <c r="C25" s="3" t="s">
        <v>41</v>
      </c>
      <c r="D25" s="3" t="s">
        <v>107</v>
      </c>
      <c r="E25" s="3" t="s">
        <v>108</v>
      </c>
      <c r="F25" s="3" t="s">
        <v>109</v>
      </c>
      <c r="G25" s="3" t="s">
        <v>109</v>
      </c>
      <c r="H25" s="3" t="n">
        <v>1</v>
      </c>
      <c r="I25" s="3" t="n">
        <v>1</v>
      </c>
      <c r="J25" s="6" t="s">
        <v>110</v>
      </c>
      <c r="K25" s="6" t="s">
        <v>111</v>
      </c>
      <c r="L25" s="3" t="s">
        <v>112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8" min="3" style="0" width="12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2</v>
      </c>
      <c r="B2" s="2" t="s">
        <v>114</v>
      </c>
      <c r="C2" s="2" t="s">
        <v>115</v>
      </c>
      <c r="D2" s="2" t="s">
        <v>116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</row>
    <row r="3" customFormat="false" ht="15" hidden="false" customHeight="false" outlineLevel="0" collapsed="false">
      <c r="A3" s="7" t="s">
        <v>14</v>
      </c>
      <c r="B3" s="7" t="s">
        <v>122</v>
      </c>
      <c r="C3" s="8" t="n">
        <v>4</v>
      </c>
      <c r="D3" s="8" t="n">
        <v>0</v>
      </c>
      <c r="E3" s="8" t="n">
        <v>0</v>
      </c>
      <c r="F3" s="9" t="n">
        <f aca="false">C3/(C3+D3)</f>
        <v>1</v>
      </c>
      <c r="G3" s="9" t="n">
        <f aca="false">C3/(C3+E3)</f>
        <v>1</v>
      </c>
      <c r="H3" s="10" t="n">
        <f aca="false">2*(G3*F3)/(G3+F3)</f>
        <v>1</v>
      </c>
      <c r="I3" s="11" t="s">
        <v>123</v>
      </c>
    </row>
    <row r="4" customFormat="false" ht="15" hidden="false" customHeight="false" outlineLevel="0" collapsed="false">
      <c r="A4" s="12" t="s">
        <v>45</v>
      </c>
      <c r="B4" s="12" t="s">
        <v>124</v>
      </c>
      <c r="C4" s="13" t="n">
        <v>6</v>
      </c>
      <c r="D4" s="13" t="n">
        <v>0</v>
      </c>
      <c r="E4" s="13" t="n">
        <v>0</v>
      </c>
      <c r="F4" s="14" t="n">
        <f aca="false">C4/(C4+D4)</f>
        <v>1</v>
      </c>
      <c r="G4" s="14" t="n">
        <f aca="false">C4/(C4+E4)</f>
        <v>1</v>
      </c>
      <c r="H4" s="15" t="n">
        <f aca="false">2*(G4*F4)/(G4+F4)</f>
        <v>1</v>
      </c>
      <c r="I4" s="11" t="s">
        <v>123</v>
      </c>
    </row>
    <row r="5" customFormat="false" ht="15" hidden="false" customHeight="false" outlineLevel="0" collapsed="false">
      <c r="A5" s="7" t="s">
        <v>67</v>
      </c>
      <c r="B5" s="7" t="s">
        <v>125</v>
      </c>
      <c r="C5" s="8" t="n">
        <v>2</v>
      </c>
      <c r="D5" s="8" t="n">
        <v>0</v>
      </c>
      <c r="E5" s="8" t="n">
        <v>0</v>
      </c>
      <c r="F5" s="9" t="n">
        <f aca="false">C5/(C5+D5)</f>
        <v>1</v>
      </c>
      <c r="G5" s="9" t="n">
        <f aca="false">C5/(C5+E5)</f>
        <v>1</v>
      </c>
      <c r="H5" s="10" t="n">
        <f aca="false">2*(G5*F5)/(G5+F5)</f>
        <v>1</v>
      </c>
      <c r="I5" s="11" t="s">
        <v>123</v>
      </c>
    </row>
    <row r="6" customFormat="false" ht="15" hidden="false" customHeight="false" outlineLevel="0" collapsed="false">
      <c r="A6" s="12" t="s">
        <v>87</v>
      </c>
      <c r="B6" s="12" t="s">
        <v>126</v>
      </c>
      <c r="C6" s="13" t="n">
        <v>3</v>
      </c>
      <c r="D6" s="13" t="n">
        <v>1</v>
      </c>
      <c r="E6" s="13" t="n">
        <v>0</v>
      </c>
      <c r="F6" s="14" t="n">
        <f aca="false">C6/(C6+D6)</f>
        <v>0.75</v>
      </c>
      <c r="G6" s="14" t="n">
        <f aca="false">C6/(C6+E6)</f>
        <v>1</v>
      </c>
      <c r="H6" s="15" t="n">
        <f aca="false">2*(G6*F6)/(G6+F6)</f>
        <v>0.857142857142857</v>
      </c>
      <c r="I6" s="16" t="s">
        <v>127</v>
      </c>
    </row>
    <row r="7" customFormat="false" ht="23.85" hidden="false" customHeight="false" outlineLevel="0" collapsed="false">
      <c r="A7" s="17" t="s">
        <v>128</v>
      </c>
      <c r="B7" s="17" t="s">
        <v>129</v>
      </c>
      <c r="C7" s="18" t="n">
        <f aca="false">SUM(C3:C6)</f>
        <v>15</v>
      </c>
      <c r="D7" s="18" t="n">
        <f aca="false">SUM(D3:D6)</f>
        <v>1</v>
      </c>
      <c r="E7" s="18" t="n">
        <f aca="false">SUM(E3:E6)</f>
        <v>0</v>
      </c>
      <c r="F7" s="19" t="n">
        <f aca="false">C7/(C7+D7)</f>
        <v>0.9375</v>
      </c>
      <c r="G7" s="19" t="n">
        <f aca="false">C7/(C7+E7)</f>
        <v>1</v>
      </c>
      <c r="H7" s="20" t="n">
        <f aca="false">2*(G7*F7)/(G7+F7)</f>
        <v>0.967741935483871</v>
      </c>
      <c r="I7" s="18" t="s">
        <v>130</v>
      </c>
    </row>
    <row r="10" customFormat="false" ht="15" hidden="false" customHeight="false" outlineLevel="0" collapsed="false">
      <c r="A10" s="21" t="s">
        <v>131</v>
      </c>
      <c r="B10" s="21"/>
      <c r="C10" s="21"/>
      <c r="D10" s="21"/>
      <c r="E10" s="21"/>
    </row>
    <row r="11" customFormat="false" ht="23.85" hidden="false" customHeight="false" outlineLevel="0" collapsed="false">
      <c r="A11" s="2" t="s">
        <v>3</v>
      </c>
      <c r="B11" s="2" t="s">
        <v>132</v>
      </c>
      <c r="C11" s="2" t="s">
        <v>21</v>
      </c>
      <c r="D11" s="2" t="s">
        <v>133</v>
      </c>
      <c r="E11" s="2" t="s">
        <v>134</v>
      </c>
    </row>
    <row r="12" customFormat="false" ht="23.85" hidden="false" customHeight="false" outlineLevel="0" collapsed="false">
      <c r="A12" s="12" t="s">
        <v>135</v>
      </c>
      <c r="B12" s="13" t="n">
        <v>14</v>
      </c>
      <c r="C12" s="13" t="n">
        <v>14</v>
      </c>
      <c r="D12" s="13" t="n">
        <v>0</v>
      </c>
      <c r="E12" s="14" t="n">
        <f aca="false">C12/B12</f>
        <v>1</v>
      </c>
    </row>
    <row r="13" customFormat="false" ht="23.85" hidden="false" customHeight="false" outlineLevel="0" collapsed="false">
      <c r="A13" s="7" t="s">
        <v>136</v>
      </c>
      <c r="B13" s="8" t="s">
        <v>137</v>
      </c>
      <c r="C13" s="8" t="s">
        <v>137</v>
      </c>
      <c r="D13" s="8" t="s">
        <v>138</v>
      </c>
      <c r="E13" s="9" t="n">
        <f aca="false">C13/B13</f>
        <v>1</v>
      </c>
    </row>
    <row r="14" customFormat="false" ht="35.05" hidden="false" customHeight="false" outlineLevel="0" collapsed="false">
      <c r="A14" s="12" t="s">
        <v>139</v>
      </c>
      <c r="B14" s="13" t="s">
        <v>140</v>
      </c>
      <c r="C14" s="13" t="s">
        <v>141</v>
      </c>
      <c r="D14" s="13" t="s">
        <v>142</v>
      </c>
      <c r="E14" s="14" t="n">
        <f aca="false">C14/B14</f>
        <v>0.75</v>
      </c>
    </row>
    <row r="15" customFormat="false" ht="23.85" hidden="false" customHeight="false" outlineLevel="0" collapsed="false">
      <c r="A15" s="7" t="s">
        <v>143</v>
      </c>
      <c r="B15" s="8" t="s">
        <v>140</v>
      </c>
      <c r="C15" s="8" t="s">
        <v>140</v>
      </c>
      <c r="D15" s="8" t="s">
        <v>138</v>
      </c>
      <c r="E15" s="9" t="n">
        <f aca="false">C15/B15</f>
        <v>1</v>
      </c>
    </row>
    <row r="16" customFormat="false" ht="15" hidden="false" customHeight="false" outlineLevel="0" collapsed="false">
      <c r="A16" s="17" t="s">
        <v>144</v>
      </c>
      <c r="B16" s="18" t="n">
        <f aca="false">SUM(B12:B15)</f>
        <v>14</v>
      </c>
      <c r="C16" s="18" t="n">
        <f aca="false">SUM(C12:C15)</f>
        <v>14</v>
      </c>
      <c r="D16" s="18" t="n">
        <f aca="false">SUM(D12:D15)</f>
        <v>0</v>
      </c>
      <c r="E16" s="19" t="n">
        <f aca="false">C16/B16</f>
        <v>1</v>
      </c>
    </row>
  </sheetData>
  <mergeCells count="2">
    <mergeCell ref="A1:I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27.75" hidden="false" customHeight="true" outlineLevel="0" collapsed="false">
      <c r="A1" s="1" t="s">
        <v>145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2" t="s">
        <v>146</v>
      </c>
      <c r="B2" s="2" t="s">
        <v>4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151</v>
      </c>
      <c r="H2" s="2" t="s">
        <v>152</v>
      </c>
      <c r="I2" s="2" t="s">
        <v>153</v>
      </c>
      <c r="J2" s="2" t="s">
        <v>154</v>
      </c>
    </row>
    <row r="3" customFormat="false" ht="27.75" hidden="false" customHeight="true" outlineLevel="0" collapsed="false">
      <c r="A3" s="7" t="s">
        <v>155</v>
      </c>
      <c r="B3" s="7" t="s">
        <v>156</v>
      </c>
      <c r="C3" s="7" t="s">
        <v>157</v>
      </c>
      <c r="D3" s="7" t="s">
        <v>158</v>
      </c>
      <c r="E3" s="8" t="s">
        <v>159</v>
      </c>
      <c r="F3" s="8" t="s">
        <v>160</v>
      </c>
      <c r="G3" s="8" t="s">
        <v>161</v>
      </c>
      <c r="H3" s="8" t="s">
        <v>161</v>
      </c>
      <c r="I3" s="8" t="s">
        <v>161</v>
      </c>
      <c r="J3" s="11" t="s">
        <v>21</v>
      </c>
    </row>
    <row r="4" customFormat="false" ht="27.75" hidden="false" customHeight="true" outlineLevel="0" collapsed="false">
      <c r="A4" s="12" t="s">
        <v>162</v>
      </c>
      <c r="B4" s="12" t="s">
        <v>163</v>
      </c>
      <c r="C4" s="12" t="s">
        <v>87</v>
      </c>
      <c r="D4" s="12" t="s">
        <v>164</v>
      </c>
      <c r="E4" s="13" t="s">
        <v>87</v>
      </c>
      <c r="F4" s="13" t="s">
        <v>165</v>
      </c>
      <c r="G4" s="13" t="s">
        <v>161</v>
      </c>
      <c r="H4" s="13" t="s">
        <v>161</v>
      </c>
      <c r="I4" s="13" t="s">
        <v>161</v>
      </c>
      <c r="J4" s="11" t="s">
        <v>21</v>
      </c>
    </row>
    <row r="5" customFormat="false" ht="27.75" hidden="false" customHeight="true" outlineLevel="0" collapsed="false">
      <c r="A5" s="7" t="s">
        <v>166</v>
      </c>
      <c r="B5" s="7" t="s">
        <v>167</v>
      </c>
      <c r="C5" s="7" t="s">
        <v>67</v>
      </c>
      <c r="D5" s="7" t="s">
        <v>168</v>
      </c>
      <c r="E5" s="8" t="s">
        <v>67</v>
      </c>
      <c r="F5" s="8" t="s">
        <v>169</v>
      </c>
      <c r="G5" s="8" t="s">
        <v>161</v>
      </c>
      <c r="H5" s="8" t="s">
        <v>161</v>
      </c>
      <c r="I5" s="8" t="s">
        <v>161</v>
      </c>
      <c r="J5" s="11" t="s">
        <v>21</v>
      </c>
    </row>
    <row r="6" customFormat="false" ht="27.75" hidden="false" customHeight="true" outlineLevel="0" collapsed="false">
      <c r="A6" s="12" t="s">
        <v>170</v>
      </c>
      <c r="B6" s="12" t="s">
        <v>171</v>
      </c>
      <c r="C6" s="12" t="s">
        <v>157</v>
      </c>
      <c r="D6" s="12" t="s">
        <v>172</v>
      </c>
      <c r="E6" s="13" t="s">
        <v>159</v>
      </c>
      <c r="F6" s="13" t="s">
        <v>160</v>
      </c>
      <c r="G6" s="13" t="s">
        <v>161</v>
      </c>
      <c r="H6" s="13" t="s">
        <v>161</v>
      </c>
      <c r="I6" s="13" t="s">
        <v>161</v>
      </c>
      <c r="J6" s="11" t="s">
        <v>21</v>
      </c>
    </row>
    <row r="7" customFormat="false" ht="27.75" hidden="false" customHeight="true" outlineLevel="0" collapsed="false">
      <c r="A7" s="7" t="s">
        <v>173</v>
      </c>
      <c r="B7" s="7" t="s">
        <v>174</v>
      </c>
      <c r="C7" s="7" t="s">
        <v>87</v>
      </c>
      <c r="D7" s="7" t="s">
        <v>175</v>
      </c>
      <c r="E7" s="8" t="s">
        <v>87</v>
      </c>
      <c r="F7" s="8" t="s">
        <v>165</v>
      </c>
      <c r="G7" s="8" t="s">
        <v>161</v>
      </c>
      <c r="H7" s="8" t="s">
        <v>161</v>
      </c>
      <c r="I7" s="8" t="s">
        <v>161</v>
      </c>
      <c r="J7" s="11" t="s">
        <v>21</v>
      </c>
    </row>
    <row r="10" customFormat="false" ht="15" hidden="false" customHeight="false" outlineLevel="0" collapsed="false">
      <c r="A10" s="22" t="s">
        <v>176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38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178</v>
      </c>
      <c r="B2" s="2" t="s">
        <v>179</v>
      </c>
      <c r="C2" s="2" t="s">
        <v>180</v>
      </c>
      <c r="D2" s="2" t="s">
        <v>181</v>
      </c>
      <c r="E2" s="2" t="s">
        <v>182</v>
      </c>
      <c r="F2" s="2" t="s">
        <v>183</v>
      </c>
      <c r="G2" s="2" t="s">
        <v>184</v>
      </c>
      <c r="H2" s="2" t="s">
        <v>12</v>
      </c>
    </row>
    <row r="3" customFormat="false" ht="31.5" hidden="false" customHeight="true" outlineLevel="0" collapsed="false">
      <c r="A3" s="7" t="s">
        <v>185</v>
      </c>
      <c r="B3" s="7" t="s">
        <v>186</v>
      </c>
      <c r="C3" s="7" t="s">
        <v>187</v>
      </c>
      <c r="D3" s="8" t="n">
        <v>1.4</v>
      </c>
      <c r="E3" s="8" t="n">
        <v>8.2</v>
      </c>
      <c r="F3" s="11" t="s">
        <v>161</v>
      </c>
      <c r="G3" s="7" t="s">
        <v>188</v>
      </c>
      <c r="H3" s="7" t="s">
        <v>189</v>
      </c>
    </row>
    <row r="4" customFormat="false" ht="31.5" hidden="false" customHeight="true" outlineLevel="0" collapsed="false">
      <c r="A4" s="12" t="s">
        <v>190</v>
      </c>
      <c r="B4" s="12" t="s">
        <v>186</v>
      </c>
      <c r="C4" s="12" t="s">
        <v>187</v>
      </c>
      <c r="D4" s="13" t="n">
        <v>1.1</v>
      </c>
      <c r="E4" s="13" t="n">
        <v>6.7</v>
      </c>
      <c r="F4" s="11" t="s">
        <v>161</v>
      </c>
      <c r="G4" s="12" t="s">
        <v>188</v>
      </c>
      <c r="H4" s="12" t="s">
        <v>191</v>
      </c>
    </row>
    <row r="5" customFormat="false" ht="31.5" hidden="false" customHeight="true" outlineLevel="0" collapsed="false">
      <c r="A5" s="7" t="s">
        <v>192</v>
      </c>
      <c r="B5" s="7" t="s">
        <v>193</v>
      </c>
      <c r="C5" s="7" t="s">
        <v>194</v>
      </c>
      <c r="D5" s="8" t="n">
        <v>2.3</v>
      </c>
      <c r="E5" s="8" t="n">
        <v>14.1</v>
      </c>
      <c r="F5" s="11" t="s">
        <v>161</v>
      </c>
      <c r="G5" s="7" t="s">
        <v>195</v>
      </c>
      <c r="H5" s="7" t="s">
        <v>196</v>
      </c>
    </row>
    <row r="6" customFormat="false" ht="31.5" hidden="false" customHeight="true" outlineLevel="0" collapsed="false">
      <c r="A6" s="12" t="s">
        <v>197</v>
      </c>
      <c r="B6" s="12" t="s">
        <v>198</v>
      </c>
      <c r="C6" s="12" t="s">
        <v>199</v>
      </c>
      <c r="D6" s="13" t="n">
        <v>1.6</v>
      </c>
      <c r="E6" s="13" t="n">
        <v>9.4</v>
      </c>
      <c r="F6" s="11" t="s">
        <v>161</v>
      </c>
      <c r="G6" s="12" t="s">
        <v>188</v>
      </c>
      <c r="H6" s="12" t="s">
        <v>200</v>
      </c>
    </row>
    <row r="9" customFormat="false" ht="15" hidden="false" customHeight="false" outlineLevel="0" collapsed="false">
      <c r="A9" s="23" t="s">
        <v>201</v>
      </c>
      <c r="B9" s="23"/>
      <c r="C9" s="23"/>
      <c r="D9" s="23"/>
      <c r="E9" s="23"/>
      <c r="F9" s="23"/>
      <c r="G9" s="23"/>
      <c r="H9" s="23"/>
    </row>
  </sheetData>
  <mergeCells count="2">
    <mergeCell ref="A1:H1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2026-04-19T16:19:09Z</dcterms:created>
  <dc:creator>openpyxl</dc:creator>
  <dc:description/>
  <dc:language>en-US</dc:language>
  <cp:lastModifiedBy/>
  <dcterms:modified xsi:type="dcterms:W3CDTF">2026-04-19T16:19:10Z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